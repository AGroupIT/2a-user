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tapenkobogdan/2a-logistic/2a-user/"/>
    </mc:Choice>
  </mc:AlternateContent>
  <xr:revisionPtr revIDLastSave="0" documentId="8_{7A5099D8-F754-0443-A95D-E8D66A2AEFB8}" xr6:coauthVersionLast="47" xr6:coauthVersionMax="47" xr10:uidLastSave="{00000000-0000-0000-0000-000000000000}"/>
  <bookViews>
    <workbookView xWindow="5080" yWindow="3480" windowWidth="28240" windowHeight="17240" xr2:uid="{8BDA9721-DB01-CA4E-B238-418D52BAE802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L12" i="1"/>
  <c r="L11" i="1"/>
  <c r="K12" i="1"/>
  <c r="K11" i="1"/>
  <c r="J12" i="1"/>
  <c r="J11" i="1"/>
  <c r="B6" i="1"/>
  <c r="B5" i="1"/>
  <c r="G12" i="1"/>
  <c r="H12" i="1"/>
  <c r="I12" i="1"/>
  <c r="I11" i="1"/>
  <c r="H11" i="1"/>
  <c r="G11" i="1"/>
  <c r="B4" i="1"/>
</calcChain>
</file>

<file path=xl/sharedStrings.xml><?xml version="1.0" encoding="utf-8"?>
<sst xmlns="http://schemas.openxmlformats.org/spreadsheetml/2006/main" count="21" uniqueCount="21">
  <si>
    <t>Доставка</t>
  </si>
  <si>
    <t>Стоимость доставки</t>
  </si>
  <si>
    <t>Грязный вес, кг</t>
  </si>
  <si>
    <t>Стоимость доставки, руб</t>
  </si>
  <si>
    <t>Грязная стоимость килограма, руб</t>
  </si>
  <si>
    <t>Трек номера</t>
  </si>
  <si>
    <t>Трек1</t>
  </si>
  <si>
    <t>Трек2</t>
  </si>
  <si>
    <t>Чистый вес</t>
  </si>
  <si>
    <t>Цена поставщика, юани</t>
  </si>
  <si>
    <t>Цена выкупа (со скидкой), юани</t>
  </si>
  <si>
    <t>Цена для участника, юани</t>
  </si>
  <si>
    <t>Куср юаня</t>
  </si>
  <si>
    <t>Цена поставщика, руб</t>
  </si>
  <si>
    <t>Цена выкупа (со скидкой), руб</t>
  </si>
  <si>
    <t>Цена для участника, руб</t>
  </si>
  <si>
    <t>Чистая стоимость килограма, руб</t>
  </si>
  <si>
    <t>Чистый вес, кг</t>
  </si>
  <si>
    <t>Итого к олпате, руб</t>
  </si>
  <si>
    <t>Прибыль</t>
  </si>
  <si>
    <t>Прибыль,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</si>
</sst>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FD48-8232-7E49-BA72-807EFCD1D544}">
  <dimension ref="A1:L12"/>
  <sheetViews>
    <sheetView tabSelected="1" workbookViewId="0">
      <selection activeCell="H18" sqref="H18"/>
    </sheetView>
  </sheetViews>
  <sheetFormatPr baseColWidth="10" defaultRowHeight="16" x14ac:dyDescent="0.2"/>
  <cols>
    <col min="1" max="1" width="26.33203125" bestFit="1" customWidth="1"/>
    <col min="2" max="2" width="11.1640625" bestFit="1" customWidth="1"/>
    <col min="3" max="3" width="21.6640625" bestFit="1" customWidth="1"/>
    <col min="4" max="4" width="28.5" bestFit="1" customWidth="1"/>
    <col min="5" max="5" width="23.33203125" bestFit="1" customWidth="1"/>
    <col min="6" max="6" width="9.83203125" bestFit="1" customWidth="1"/>
    <col min="7" max="7" width="19.83203125" bestFit="1" customWidth="1"/>
    <col min="8" max="8" width="26.83203125" bestFit="1" customWidth="1"/>
    <col min="9" max="9" width="21.6640625" bestFit="1" customWidth="1"/>
    <col min="10" max="10" width="18.1640625" bestFit="1" customWidth="1"/>
    <col min="11" max="11" width="17.1640625" bestFit="1" customWidth="1"/>
  </cols>
  <sheetData>
    <row r="1" spans="1:12" x14ac:dyDescent="0.2">
      <c r="A1" t="s">
        <v>0</v>
      </c>
    </row>
    <row r="2" spans="1:12" x14ac:dyDescent="0.2">
      <c r="A2" t="s">
        <v>2</v>
      </c>
      <c r="B2">
        <v>1230</v>
      </c>
    </row>
    <row r="3" spans="1:12" x14ac:dyDescent="0.2">
      <c r="A3" t="s">
        <v>3</v>
      </c>
      <c r="B3">
        <v>613899</v>
      </c>
    </row>
    <row r="4" spans="1:12" x14ac:dyDescent="0.2">
      <c r="A4" t="s">
        <v>4</v>
      </c>
      <c r="B4">
        <f>B3/B2</f>
        <v>499.10487804878051</v>
      </c>
    </row>
    <row r="5" spans="1:12" x14ac:dyDescent="0.2">
      <c r="A5" t="s">
        <v>17</v>
      </c>
      <c r="B5">
        <f>SUM(B11:B12)</f>
        <v>1225</v>
      </c>
    </row>
    <row r="6" spans="1:12" x14ac:dyDescent="0.2">
      <c r="A6" t="s">
        <v>16</v>
      </c>
      <c r="B6">
        <f>B3/B5</f>
        <v>501.14204081632653</v>
      </c>
    </row>
    <row r="7" spans="1:12" x14ac:dyDescent="0.2">
      <c r="A7" t="s">
        <v>20</v>
      </c>
      <c r="B7">
        <f>SUM(L11:L12)</f>
        <v>1690</v>
      </c>
    </row>
    <row r="10" spans="1:12" x14ac:dyDescent="0.2">
      <c r="A10" t="s">
        <v>5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</v>
      </c>
      <c r="K10" t="s">
        <v>18</v>
      </c>
      <c r="L10" t="s">
        <v>19</v>
      </c>
    </row>
    <row r="11" spans="1:12" x14ac:dyDescent="0.2">
      <c r="A11" t="s">
        <v>6</v>
      </c>
      <c r="B11">
        <v>1200</v>
      </c>
      <c r="C11">
        <v>100</v>
      </c>
      <c r="D11">
        <v>90</v>
      </c>
      <c r="E11">
        <v>110</v>
      </c>
      <c r="F11">
        <v>13</v>
      </c>
      <c r="G11">
        <f>C11*F11</f>
        <v>1300</v>
      </c>
      <c r="H11">
        <f>D11*F11</f>
        <v>1170</v>
      </c>
      <c r="I11">
        <f>E11*F11</f>
        <v>1430</v>
      </c>
      <c r="J11">
        <f>B11*B6</f>
        <v>601370.44897959183</v>
      </c>
      <c r="K11">
        <f>I11+J11</f>
        <v>602800.44897959183</v>
      </c>
      <c r="L11">
        <f>I11-H11</f>
        <v>260</v>
      </c>
    </row>
    <row r="12" spans="1:12" x14ac:dyDescent="0.2">
      <c r="A12" t="s">
        <v>7</v>
      </c>
      <c r="B12">
        <v>25</v>
      </c>
      <c r="C12">
        <v>200</v>
      </c>
      <c r="D12">
        <v>100</v>
      </c>
      <c r="E12">
        <v>210</v>
      </c>
      <c r="F12">
        <v>13</v>
      </c>
      <c r="G12">
        <f>C12*F12</f>
        <v>2600</v>
      </c>
      <c r="H12">
        <f>D12*F12</f>
        <v>1300</v>
      </c>
      <c r="I12">
        <f>E12*F12</f>
        <v>2730</v>
      </c>
      <c r="J12">
        <f>B12*B6</f>
        <v>12528.551020408164</v>
      </c>
      <c r="K12">
        <f>I12+J12</f>
        <v>15258.551020408164</v>
      </c>
      <c r="L12">
        <f>I12-H12</f>
        <v>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Остапенко Богдан</dc:creator>
  <cp:lastModifiedBy>Остапенко Богдан</cp:lastModifiedBy>
  <dcterms:created xsi:type="dcterms:W3CDTF">2026-01-24T15:56:41Z</dcterms:created>
  <dcterms:modified xsi:type="dcterms:W3CDTF">2026-01-24T16:14:03Z</dcterms:modified>
</cp:coreProperties>
</file>